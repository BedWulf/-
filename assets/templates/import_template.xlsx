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golf\Desktop\приложения питон\литейка\"/>
    </mc:Choice>
  </mc:AlternateContent>
  <bookViews>
    <workbookView xWindow="0" yWindow="0" windowWidth="28800" windowHeight="11865"/>
  </bookViews>
  <sheets>
    <sheet name="Литейное производство" sheetId="1" r:id="rId1"/>
  </sheets>
  <calcPr calcId="162913"/>
</workbook>
</file>

<file path=xl/calcChain.xml><?xml version="1.0" encoding="utf-8"?>
<calcChain xmlns="http://schemas.openxmlformats.org/spreadsheetml/2006/main">
  <c r="M22" i="1" l="1"/>
  <c r="F22" i="1"/>
  <c r="O20" i="1"/>
  <c r="M20" i="1"/>
  <c r="H20" i="1"/>
  <c r="O19" i="1" s="1"/>
  <c r="M19" i="1"/>
  <c r="H19" i="1"/>
  <c r="O18" i="1" s="1"/>
  <c r="M18" i="1"/>
  <c r="H18" i="1"/>
  <c r="O17" i="1" s="1"/>
  <c r="M17" i="1"/>
  <c r="H17" i="1"/>
  <c r="O16" i="1" s="1"/>
  <c r="M16" i="1"/>
  <c r="H16" i="1"/>
  <c r="O15" i="1" s="1"/>
  <c r="M15" i="1"/>
  <c r="H15" i="1"/>
  <c r="O14" i="1" s="1"/>
  <c r="M14" i="1"/>
  <c r="H14" i="1"/>
  <c r="O13" i="1" s="1"/>
  <c r="M13" i="1"/>
  <c r="H13" i="1"/>
  <c r="O12" i="1" s="1"/>
  <c r="M12" i="1"/>
  <c r="H12" i="1"/>
  <c r="O11" i="1" s="1"/>
  <c r="M11" i="1"/>
  <c r="H11" i="1"/>
  <c r="O10" i="1" s="1"/>
  <c r="M10" i="1"/>
  <c r="H10" i="1"/>
  <c r="O9" i="1" s="1"/>
  <c r="M9" i="1"/>
  <c r="H9" i="1"/>
  <c r="O8" i="1" s="1"/>
  <c r="M8" i="1"/>
  <c r="H8" i="1"/>
  <c r="O7" i="1" s="1"/>
  <c r="M7" i="1"/>
  <c r="H7" i="1"/>
  <c r="O6" i="1" s="1"/>
  <c r="M6" i="1"/>
  <c r="H6" i="1"/>
  <c r="O5" i="1" s="1"/>
  <c r="M5" i="1"/>
  <c r="H5" i="1"/>
  <c r="O4" i="1" s="1"/>
  <c r="M4" i="1"/>
  <c r="H4" i="1"/>
  <c r="H22" i="1" s="1"/>
  <c r="M3" i="1"/>
  <c r="H3" i="1"/>
  <c r="O22" i="1" l="1"/>
  <c r="O3" i="1"/>
</calcChain>
</file>

<file path=xl/sharedStrings.xml><?xml version="1.0" encoding="utf-8"?>
<sst xmlns="http://schemas.openxmlformats.org/spreadsheetml/2006/main" count="69" uniqueCount="52">
  <si>
    <t>№ п/п</t>
  </si>
  <si>
    <t>Наименование отливки</t>
  </si>
  <si>
    <t>Масса отливки с ЛПС, кг</t>
  </si>
  <si>
    <t>Габарит Ø или длина, мм</t>
  </si>
  <si>
    <t>Высота отливки, мм</t>
  </si>
  <si>
    <t>Годовая программа, шт (с браком)</t>
  </si>
  <si>
    <t>Кол-во отливок в форме, шт</t>
  </si>
  <si>
    <t>Годовое кол-во форм, шт</t>
  </si>
  <si>
    <t>Опока длина, мм</t>
  </si>
  <si>
    <t>Опока ширина, мм</t>
  </si>
  <si>
    <t>Опока высота, мм</t>
  </si>
  <si>
    <t>Заливочная масса, кг</t>
  </si>
  <si>
    <t>Масса металла в год, т</t>
  </si>
  <si>
    <t>Объём одной формы, м³</t>
  </si>
  <si>
    <t>Объём смеси в год, м³</t>
  </si>
  <si>
    <t>Тип формовочной машины</t>
  </si>
  <si>
    <t>Порядковый номер (1, 2, 3...)</t>
  </si>
  <si>
    <t>Название детали как в чертеже (Блок, Диск, Колесо...)</t>
  </si>
  <si>
    <t>Масса готовой отливки + литники+прибыли+питающие (кг). Считать по чертежу отливки</t>
  </si>
  <si>
    <t>Наибольший габарит: диаметр для круглых или длина для прямоугольных (мм)</t>
  </si>
  <si>
    <t>Высота отливки по положению при заливке (мм). Влияет на расчёт ЛПС</t>
  </si>
  <si>
    <t>Годовое кол-во деталей × (1 + %брака). Брак обычно 3-5%</t>
  </si>
  <si>
    <t>Сколько отливок помещается в одну форму (1-4). Зависит от размера опоки</t>
  </si>
  <si>
    <t>⚡ АВТО: =F*G. Сколько форм нужно сделать за год</t>
  </si>
  <si>
    <t>Длина опоки в свету. Стандарт: 500/600/800/900/1000/1200 мм</t>
  </si>
  <si>
    <t>Ширина опоки в свету. Стандарт: 400/500/600/700/800 мм</t>
  </si>
  <si>
    <t>Высота опоки (одной полуформы). Стандарт: 150/200/250/300 мм</t>
  </si>
  <si>
    <t>Масса жидкого металла на одну заливку формы (отливка+ЛПС+прибыли), кг</t>
  </si>
  <si>
    <t>⚡ АВТО: =(F*L)/1000. Сколько тонн металла нужно на год по этой детали</t>
  </si>
  <si>
    <t>Объём полости одной формы (длина×ширина×высота опоки минус объём отливки), м³</t>
  </si>
  <si>
    <t>⚡ АВТО: =H*N. Годовой расход смеси по этой детали, м³</t>
  </si>
  <si>
    <t>Выбрать из списка: ИЛ-225 / КВ301 / 7058 / 22212 / 22112 / вручную</t>
  </si>
  <si>
    <t>Блок</t>
  </si>
  <si>
    <t>ИЛ-225</t>
  </si>
  <si>
    <t>Диск</t>
  </si>
  <si>
    <t>Колесо</t>
  </si>
  <si>
    <t>Корпус</t>
  </si>
  <si>
    <t>Кронштейн</t>
  </si>
  <si>
    <t>Лопатка</t>
  </si>
  <si>
    <t>Муфта</t>
  </si>
  <si>
    <t>Опора</t>
  </si>
  <si>
    <t>Палец</t>
  </si>
  <si>
    <t>Планка</t>
  </si>
  <si>
    <t>Плита</t>
  </si>
  <si>
    <t>Рейка</t>
  </si>
  <si>
    <t>Втулка</t>
  </si>
  <si>
    <t>Сопло</t>
  </si>
  <si>
    <t>Стакан</t>
  </si>
  <si>
    <t>Тройник</t>
  </si>
  <si>
    <t>Труба</t>
  </si>
  <si>
    <t>Угольник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</si>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</sst>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555555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3" fontId="4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topLeftCell="K13" workbookViewId="0">
      <selection activeCell="M23" sqref="M23"/>
    </sheetView>
  </sheetViews>
  <sheetFormatPr defaultRowHeight="15" x14ac:dyDescent="0.25"/>
  <cols>
    <col min="1" max="1" width="32" customWidth="1"/>
    <col min="2" max="2" width="56" customWidth="1"/>
    <col min="3" max="3" width="84" customWidth="1"/>
    <col min="4" max="4" width="75" customWidth="1"/>
    <col min="5" max="5" width="69" customWidth="1"/>
    <col min="6" max="6" width="58" customWidth="1"/>
    <col min="7" max="7" width="74" customWidth="1"/>
    <col min="8" max="8" width="50" customWidth="1"/>
    <col min="9" max="9" width="62" customWidth="1"/>
    <col min="10" max="10" width="57" customWidth="1"/>
    <col min="11" max="11" width="63" customWidth="1"/>
    <col min="12" max="13" width="72" customWidth="1"/>
    <col min="14" max="14" width="80" customWidth="1"/>
    <col min="15" max="15" width="56" customWidth="1"/>
    <col min="16" max="16" width="69" customWidth="1"/>
  </cols>
  <sheetData>
    <row r="1" spans="1:16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25">
      <c r="A3">
        <v>1</v>
      </c>
      <c r="B3" t="s">
        <v>32</v>
      </c>
      <c r="C3">
        <v>8.14</v>
      </c>
      <c r="D3">
        <v>180</v>
      </c>
      <c r="E3">
        <v>156</v>
      </c>
      <c r="F3">
        <v>325500</v>
      </c>
      <c r="G3">
        <v>4</v>
      </c>
      <c r="H3">
        <f t="shared" ref="H3:H20" si="0">F4*G4</f>
        <v>913500</v>
      </c>
      <c r="I3">
        <v>900</v>
      </c>
      <c r="J3">
        <v>600</v>
      </c>
      <c r="K3">
        <v>200</v>
      </c>
      <c r="L3">
        <v>32.56</v>
      </c>
      <c r="M3">
        <f t="shared" ref="M3:M20" si="1">F4*L4/1000</f>
        <v>13958.280000000002</v>
      </c>
      <c r="N3">
        <v>0.20699999999999999</v>
      </c>
      <c r="O3">
        <f t="shared" ref="O3:O20" si="2">H4*N4</f>
        <v>164587.5</v>
      </c>
      <c r="P3" t="s">
        <v>33</v>
      </c>
    </row>
    <row r="4" spans="1:16" ht="20.100000000000001" customHeight="1" x14ac:dyDescent="0.25">
      <c r="A4" s="3">
        <v>2</v>
      </c>
      <c r="B4" s="4" t="s">
        <v>34</v>
      </c>
      <c r="C4" s="5">
        <v>15.28</v>
      </c>
      <c r="D4" s="6">
        <v>260</v>
      </c>
      <c r="E4" s="6">
        <v>142</v>
      </c>
      <c r="F4" s="6">
        <v>304500</v>
      </c>
      <c r="G4" s="6">
        <v>3</v>
      </c>
      <c r="H4" s="3">
        <f t="shared" si="0"/>
        <v>787500</v>
      </c>
      <c r="I4" s="3">
        <v>900</v>
      </c>
      <c r="J4" s="3">
        <v>600</v>
      </c>
      <c r="K4" s="3">
        <v>200</v>
      </c>
      <c r="L4" s="5">
        <v>45.84</v>
      </c>
      <c r="M4" s="5">
        <f t="shared" si="1"/>
        <v>10332</v>
      </c>
      <c r="N4" s="7">
        <v>0.20899999999999999</v>
      </c>
      <c r="O4" s="7">
        <f t="shared" si="2"/>
        <v>226012.5</v>
      </c>
      <c r="P4" s="8" t="s">
        <v>33</v>
      </c>
    </row>
    <row r="5" spans="1:16" ht="20.100000000000001" customHeight="1" x14ac:dyDescent="0.25">
      <c r="A5" s="3">
        <v>3</v>
      </c>
      <c r="B5" s="4" t="s">
        <v>35</v>
      </c>
      <c r="C5" s="5">
        <v>13.12</v>
      </c>
      <c r="D5" s="6">
        <v>200</v>
      </c>
      <c r="E5" s="6">
        <v>155</v>
      </c>
      <c r="F5" s="6">
        <v>262500</v>
      </c>
      <c r="G5" s="6">
        <v>3</v>
      </c>
      <c r="H5" s="3">
        <f t="shared" si="0"/>
        <v>1102500</v>
      </c>
      <c r="I5" s="3">
        <v>900</v>
      </c>
      <c r="J5" s="3">
        <v>600</v>
      </c>
      <c r="K5" s="3">
        <v>200</v>
      </c>
      <c r="L5" s="5">
        <v>39.36</v>
      </c>
      <c r="M5" s="5">
        <f t="shared" si="1"/>
        <v>8213.625</v>
      </c>
      <c r="N5" s="7">
        <v>0.20499999999999999</v>
      </c>
      <c r="O5" s="7">
        <f t="shared" si="2"/>
        <v>294840</v>
      </c>
      <c r="P5" s="8" t="s">
        <v>33</v>
      </c>
    </row>
    <row r="6" spans="1:16" ht="20.100000000000001" customHeight="1" x14ac:dyDescent="0.25">
      <c r="A6" s="3">
        <v>4</v>
      </c>
      <c r="B6" s="4" t="s">
        <v>36</v>
      </c>
      <c r="C6" s="5">
        <v>7.45</v>
      </c>
      <c r="D6" s="6">
        <v>150</v>
      </c>
      <c r="E6" s="6">
        <v>121</v>
      </c>
      <c r="F6" s="6">
        <v>220500</v>
      </c>
      <c r="G6" s="6">
        <v>5</v>
      </c>
      <c r="H6" s="3">
        <f t="shared" si="0"/>
        <v>1417500</v>
      </c>
      <c r="I6" s="3">
        <v>900</v>
      </c>
      <c r="J6" s="3">
        <v>600</v>
      </c>
      <c r="K6" s="3">
        <v>200</v>
      </c>
      <c r="L6" s="5">
        <v>37.25</v>
      </c>
      <c r="M6" s="5">
        <f t="shared" si="1"/>
        <v>12658.275</v>
      </c>
      <c r="N6" s="7">
        <v>0.20799999999999999</v>
      </c>
      <c r="O6" s="7">
        <f t="shared" si="2"/>
        <v>209664</v>
      </c>
      <c r="P6" s="8" t="s">
        <v>33</v>
      </c>
    </row>
    <row r="7" spans="1:16" ht="20.100000000000001" customHeight="1" x14ac:dyDescent="0.25">
      <c r="A7" s="3">
        <v>5</v>
      </c>
      <c r="B7" s="4" t="s">
        <v>37</v>
      </c>
      <c r="C7" s="5">
        <v>8.93</v>
      </c>
      <c r="D7" s="6">
        <v>220</v>
      </c>
      <c r="E7" s="6">
        <v>160</v>
      </c>
      <c r="F7" s="6">
        <v>283500</v>
      </c>
      <c r="G7" s="6">
        <v>5</v>
      </c>
      <c r="H7" s="3">
        <f t="shared" si="0"/>
        <v>1008000</v>
      </c>
      <c r="I7" s="3">
        <v>900</v>
      </c>
      <c r="J7" s="3">
        <v>600</v>
      </c>
      <c r="K7" s="3">
        <v>200</v>
      </c>
      <c r="L7" s="5">
        <v>44.65</v>
      </c>
      <c r="M7" s="5">
        <f t="shared" si="1"/>
        <v>11602.08</v>
      </c>
      <c r="N7" s="7">
        <v>0.20799999999999999</v>
      </c>
      <c r="O7" s="7">
        <f t="shared" si="2"/>
        <v>245784</v>
      </c>
      <c r="P7" s="8" t="s">
        <v>33</v>
      </c>
    </row>
    <row r="8" spans="1:16" ht="20.100000000000001" customHeight="1" x14ac:dyDescent="0.25">
      <c r="A8" s="3">
        <v>6</v>
      </c>
      <c r="B8" s="4" t="s">
        <v>38</v>
      </c>
      <c r="C8" s="5">
        <v>11.51</v>
      </c>
      <c r="D8" s="6">
        <v>200</v>
      </c>
      <c r="E8" s="6">
        <v>167</v>
      </c>
      <c r="F8" s="6">
        <v>252000</v>
      </c>
      <c r="G8" s="6">
        <v>4</v>
      </c>
      <c r="H8" s="3">
        <f t="shared" si="0"/>
        <v>1176000</v>
      </c>
      <c r="I8" s="3">
        <v>900</v>
      </c>
      <c r="J8" s="3">
        <v>600</v>
      </c>
      <c r="K8" s="3">
        <v>200</v>
      </c>
      <c r="L8" s="5">
        <v>46.04</v>
      </c>
      <c r="M8" s="5">
        <f t="shared" si="1"/>
        <v>9543.24</v>
      </c>
      <c r="N8" s="7">
        <v>0.20899999999999999</v>
      </c>
      <c r="O8" s="7">
        <f t="shared" si="2"/>
        <v>187267.5</v>
      </c>
      <c r="P8" s="8" t="s">
        <v>33</v>
      </c>
    </row>
    <row r="9" spans="1:16" ht="20.100000000000001" customHeight="1" x14ac:dyDescent="0.25">
      <c r="A9" s="3">
        <v>7</v>
      </c>
      <c r="B9" s="4" t="s">
        <v>39</v>
      </c>
      <c r="C9" s="5">
        <v>10.82</v>
      </c>
      <c r="D9" s="6">
        <v>210</v>
      </c>
      <c r="E9" s="6">
        <v>144</v>
      </c>
      <c r="F9" s="6">
        <v>294000</v>
      </c>
      <c r="G9" s="6">
        <v>4</v>
      </c>
      <c r="H9" s="3">
        <f t="shared" si="0"/>
        <v>913500</v>
      </c>
      <c r="I9" s="3">
        <v>900</v>
      </c>
      <c r="J9" s="3">
        <v>600</v>
      </c>
      <c r="K9" s="3">
        <v>200</v>
      </c>
      <c r="L9" s="5">
        <v>32.46</v>
      </c>
      <c r="M9" s="5">
        <f t="shared" si="1"/>
        <v>11336.534999999998</v>
      </c>
      <c r="N9" s="7">
        <v>0.20499999999999999</v>
      </c>
      <c r="O9" s="7">
        <f t="shared" si="2"/>
        <v>239085</v>
      </c>
      <c r="P9" s="8" t="s">
        <v>33</v>
      </c>
    </row>
    <row r="10" spans="1:16" ht="20.100000000000001" customHeight="1" x14ac:dyDescent="0.25">
      <c r="A10" s="3">
        <v>8</v>
      </c>
      <c r="B10" s="4" t="s">
        <v>40</v>
      </c>
      <c r="C10" s="5">
        <v>12.41</v>
      </c>
      <c r="D10" s="6">
        <v>230</v>
      </c>
      <c r="E10" s="6">
        <v>91</v>
      </c>
      <c r="F10" s="6">
        <v>304500</v>
      </c>
      <c r="G10" s="6">
        <v>3</v>
      </c>
      <c r="H10" s="3">
        <f t="shared" si="0"/>
        <v>1155000</v>
      </c>
      <c r="I10" s="3">
        <v>900</v>
      </c>
      <c r="J10" s="3">
        <v>600</v>
      </c>
      <c r="K10" s="3">
        <v>200</v>
      </c>
      <c r="L10" s="5">
        <v>37.229999999999997</v>
      </c>
      <c r="M10" s="5">
        <f t="shared" si="1"/>
        <v>9401.7000000000007</v>
      </c>
      <c r="N10" s="7">
        <v>0.20699999999999999</v>
      </c>
      <c r="O10" s="7">
        <f t="shared" si="2"/>
        <v>259560</v>
      </c>
      <c r="P10" s="8" t="s">
        <v>33</v>
      </c>
    </row>
    <row r="11" spans="1:16" ht="20.100000000000001" customHeight="1" x14ac:dyDescent="0.25">
      <c r="A11" s="3">
        <v>9</v>
      </c>
      <c r="B11" s="4" t="s">
        <v>41</v>
      </c>
      <c r="C11" s="5">
        <v>8.14</v>
      </c>
      <c r="D11" s="6">
        <v>160</v>
      </c>
      <c r="E11" s="6">
        <v>133</v>
      </c>
      <c r="F11" s="6">
        <v>231000</v>
      </c>
      <c r="G11" s="6">
        <v>5</v>
      </c>
      <c r="H11" s="3">
        <f t="shared" si="0"/>
        <v>1260000</v>
      </c>
      <c r="I11" s="3">
        <v>900</v>
      </c>
      <c r="J11" s="3">
        <v>600</v>
      </c>
      <c r="K11" s="3">
        <v>200</v>
      </c>
      <c r="L11" s="5">
        <v>40.700000000000003</v>
      </c>
      <c r="M11" s="5">
        <f t="shared" si="1"/>
        <v>10508.4</v>
      </c>
      <c r="N11" s="7">
        <v>0.20599999999999999</v>
      </c>
      <c r="O11" s="7">
        <f t="shared" si="2"/>
        <v>164587.5</v>
      </c>
      <c r="P11" s="8" t="s">
        <v>33</v>
      </c>
    </row>
    <row r="12" spans="1:16" ht="20.100000000000001" customHeight="1" x14ac:dyDescent="0.25">
      <c r="A12" s="3">
        <v>10</v>
      </c>
      <c r="B12" s="4" t="s">
        <v>42</v>
      </c>
      <c r="C12" s="5">
        <v>8.34</v>
      </c>
      <c r="D12" s="6">
        <v>240</v>
      </c>
      <c r="E12" s="6">
        <v>95</v>
      </c>
      <c r="F12" s="6">
        <v>252000</v>
      </c>
      <c r="G12" s="6">
        <v>5</v>
      </c>
      <c r="H12" s="3">
        <f t="shared" si="0"/>
        <v>787500</v>
      </c>
      <c r="I12" s="3">
        <v>900</v>
      </c>
      <c r="J12" s="3">
        <v>600</v>
      </c>
      <c r="K12" s="3">
        <v>200</v>
      </c>
      <c r="L12" s="5">
        <v>41.7</v>
      </c>
      <c r="M12" s="5">
        <f t="shared" si="1"/>
        <v>9599.625</v>
      </c>
      <c r="N12" s="7">
        <v>0.20899999999999999</v>
      </c>
      <c r="O12" s="7">
        <f t="shared" si="2"/>
        <v>189420</v>
      </c>
      <c r="P12" s="8" t="s">
        <v>33</v>
      </c>
    </row>
    <row r="13" spans="1:16" ht="20.100000000000001" customHeight="1" x14ac:dyDescent="0.25">
      <c r="A13" s="3">
        <v>11</v>
      </c>
      <c r="B13" s="4" t="s">
        <v>43</v>
      </c>
      <c r="C13" s="5">
        <v>12.19</v>
      </c>
      <c r="D13" s="6">
        <v>248</v>
      </c>
      <c r="E13" s="6">
        <v>145</v>
      </c>
      <c r="F13" s="6">
        <v>262500</v>
      </c>
      <c r="G13" s="6">
        <v>3</v>
      </c>
      <c r="H13" s="3">
        <f t="shared" si="0"/>
        <v>924000</v>
      </c>
      <c r="I13" s="3">
        <v>900</v>
      </c>
      <c r="J13" s="3">
        <v>600</v>
      </c>
      <c r="K13" s="3">
        <v>200</v>
      </c>
      <c r="L13" s="5">
        <v>36.57</v>
      </c>
      <c r="M13" s="5">
        <f t="shared" si="1"/>
        <v>5317.62</v>
      </c>
      <c r="N13" s="7">
        <v>0.20499999999999999</v>
      </c>
      <c r="O13" s="7">
        <f t="shared" si="2"/>
        <v>316680</v>
      </c>
      <c r="P13" s="8" t="s">
        <v>33</v>
      </c>
    </row>
    <row r="14" spans="1:16" ht="20.100000000000001" customHeight="1" x14ac:dyDescent="0.25">
      <c r="A14" s="3">
        <v>12</v>
      </c>
      <c r="B14" s="4" t="s">
        <v>44</v>
      </c>
      <c r="C14" s="5">
        <v>11.51</v>
      </c>
      <c r="D14" s="6">
        <v>220</v>
      </c>
      <c r="E14" s="6">
        <v>103</v>
      </c>
      <c r="F14" s="6">
        <v>231000</v>
      </c>
      <c r="G14" s="6">
        <v>4</v>
      </c>
      <c r="H14" s="3">
        <f t="shared" si="0"/>
        <v>1522500</v>
      </c>
      <c r="I14" s="3">
        <v>900</v>
      </c>
      <c r="J14" s="3">
        <v>600</v>
      </c>
      <c r="K14" s="3">
        <v>200</v>
      </c>
      <c r="L14" s="5">
        <v>23.02</v>
      </c>
      <c r="M14" s="5">
        <f t="shared" si="1"/>
        <v>14019.18</v>
      </c>
      <c r="N14" s="7">
        <v>0.20799999999999999</v>
      </c>
      <c r="O14" s="7">
        <f t="shared" si="2"/>
        <v>193116</v>
      </c>
      <c r="P14" s="8" t="s">
        <v>33</v>
      </c>
    </row>
    <row r="15" spans="1:16" ht="20.100000000000001" customHeight="1" x14ac:dyDescent="0.25">
      <c r="A15" s="3">
        <v>13</v>
      </c>
      <c r="B15" s="4" t="s">
        <v>45</v>
      </c>
      <c r="C15" s="5">
        <v>9.23</v>
      </c>
      <c r="D15" s="6">
        <v>168</v>
      </c>
      <c r="E15" s="6">
        <v>164</v>
      </c>
      <c r="F15" s="6">
        <v>304500</v>
      </c>
      <c r="G15" s="6">
        <v>5</v>
      </c>
      <c r="H15" s="3">
        <f t="shared" si="0"/>
        <v>924000</v>
      </c>
      <c r="I15" s="3">
        <v>900</v>
      </c>
      <c r="J15" s="3">
        <v>600</v>
      </c>
      <c r="K15" s="3">
        <v>200</v>
      </c>
      <c r="L15" s="5">
        <v>46.04</v>
      </c>
      <c r="M15" s="5">
        <f t="shared" si="1"/>
        <v>9119.8799999999992</v>
      </c>
      <c r="N15" s="7">
        <v>0.20899999999999999</v>
      </c>
      <c r="O15" s="7">
        <f t="shared" si="2"/>
        <v>138253.5</v>
      </c>
      <c r="P15" s="8" t="s">
        <v>33</v>
      </c>
    </row>
    <row r="16" spans="1:16" ht="20.100000000000001" customHeight="1" x14ac:dyDescent="0.25">
      <c r="A16" s="3">
        <v>14</v>
      </c>
      <c r="B16" s="4" t="s">
        <v>46</v>
      </c>
      <c r="C16" s="5">
        <v>9.8699999999999992</v>
      </c>
      <c r="D16" s="6">
        <v>205</v>
      </c>
      <c r="E16" s="6">
        <v>115</v>
      </c>
      <c r="F16" s="6">
        <v>231000</v>
      </c>
      <c r="G16" s="6">
        <v>4</v>
      </c>
      <c r="H16" s="3">
        <f t="shared" si="0"/>
        <v>661500</v>
      </c>
      <c r="I16" s="3">
        <v>900</v>
      </c>
      <c r="J16" s="3">
        <v>600</v>
      </c>
      <c r="K16" s="3">
        <v>200</v>
      </c>
      <c r="L16" s="5">
        <v>39.479999999999997</v>
      </c>
      <c r="M16" s="5">
        <f t="shared" si="1"/>
        <v>8533.35</v>
      </c>
      <c r="N16" s="7">
        <v>0.20899999999999999</v>
      </c>
      <c r="O16" s="7">
        <f t="shared" si="2"/>
        <v>249952.5</v>
      </c>
      <c r="P16" s="8" t="s">
        <v>33</v>
      </c>
    </row>
    <row r="17" spans="1:16" ht="20.100000000000001" customHeight="1" x14ac:dyDescent="0.25">
      <c r="A17" s="3">
        <v>15</v>
      </c>
      <c r="B17" s="4" t="s">
        <v>47</v>
      </c>
      <c r="C17" s="5">
        <v>12.9</v>
      </c>
      <c r="D17" s="6">
        <v>180</v>
      </c>
      <c r="E17" s="6">
        <v>120</v>
      </c>
      <c r="F17" s="6">
        <v>220500</v>
      </c>
      <c r="G17" s="6">
        <v>3</v>
      </c>
      <c r="H17" s="3">
        <f t="shared" si="0"/>
        <v>1207500</v>
      </c>
      <c r="I17" s="3">
        <v>900</v>
      </c>
      <c r="J17" s="3">
        <v>600</v>
      </c>
      <c r="K17" s="3">
        <v>200</v>
      </c>
      <c r="L17" s="5">
        <v>38.700000000000003</v>
      </c>
      <c r="M17" s="5">
        <f t="shared" si="1"/>
        <v>9394.35</v>
      </c>
      <c r="N17" s="7">
        <v>0.20699999999999999</v>
      </c>
      <c r="O17" s="7">
        <f t="shared" si="2"/>
        <v>235872</v>
      </c>
      <c r="P17" s="8" t="s">
        <v>33</v>
      </c>
    </row>
    <row r="18" spans="1:16" ht="20.100000000000001" customHeight="1" x14ac:dyDescent="0.25">
      <c r="A18" s="3">
        <v>16</v>
      </c>
      <c r="B18" s="4" t="s">
        <v>48</v>
      </c>
      <c r="C18" s="5">
        <v>7.78</v>
      </c>
      <c r="D18" s="6">
        <v>164</v>
      </c>
      <c r="E18" s="6">
        <v>166</v>
      </c>
      <c r="F18" s="6">
        <v>241500</v>
      </c>
      <c r="G18" s="6">
        <v>5</v>
      </c>
      <c r="H18" s="3">
        <f t="shared" si="0"/>
        <v>1134000</v>
      </c>
      <c r="I18" s="3">
        <v>900</v>
      </c>
      <c r="J18" s="3">
        <v>600</v>
      </c>
      <c r="K18" s="3">
        <v>200</v>
      </c>
      <c r="L18" s="5">
        <v>38.9</v>
      </c>
      <c r="M18" s="5">
        <f t="shared" si="1"/>
        <v>11929.68</v>
      </c>
      <c r="N18" s="7">
        <v>0.20799999999999999</v>
      </c>
      <c r="O18" s="7">
        <f t="shared" si="2"/>
        <v>199962</v>
      </c>
      <c r="P18" s="8" t="s">
        <v>33</v>
      </c>
    </row>
    <row r="19" spans="1:16" ht="20.100000000000001" customHeight="1" x14ac:dyDescent="0.25">
      <c r="A19" s="3">
        <v>17</v>
      </c>
      <c r="B19" s="4" t="s">
        <v>49</v>
      </c>
      <c r="C19" s="5">
        <v>10.52</v>
      </c>
      <c r="D19" s="6">
        <v>180</v>
      </c>
      <c r="E19" s="6">
        <v>174</v>
      </c>
      <c r="F19" s="6">
        <v>283500</v>
      </c>
      <c r="G19" s="6">
        <v>4</v>
      </c>
      <c r="H19" s="3">
        <f t="shared" si="0"/>
        <v>966000</v>
      </c>
      <c r="I19" s="3">
        <v>900</v>
      </c>
      <c r="J19" s="3">
        <v>600</v>
      </c>
      <c r="K19" s="3">
        <v>200</v>
      </c>
      <c r="L19" s="5">
        <v>42.08</v>
      </c>
      <c r="M19" s="5">
        <f t="shared" si="1"/>
        <v>9592.3799999999992</v>
      </c>
      <c r="N19" s="7">
        <v>0.20699999999999999</v>
      </c>
      <c r="O19" s="7">
        <f t="shared" si="2"/>
        <v>0</v>
      </c>
      <c r="P19" s="8" t="s">
        <v>33</v>
      </c>
    </row>
    <row r="20" spans="1:16" ht="20.100000000000001" customHeight="1" x14ac:dyDescent="0.25">
      <c r="A20" s="3">
        <v>18</v>
      </c>
      <c r="B20" s="4" t="s">
        <v>50</v>
      </c>
      <c r="C20" s="5">
        <v>9.93</v>
      </c>
      <c r="D20" s="6">
        <v>188</v>
      </c>
      <c r="E20" s="6">
        <v>116</v>
      </c>
      <c r="F20" s="6">
        <v>241500</v>
      </c>
      <c r="G20" s="6">
        <v>4</v>
      </c>
      <c r="H20" s="3">
        <f t="shared" si="0"/>
        <v>0</v>
      </c>
      <c r="I20" s="3">
        <v>900</v>
      </c>
      <c r="J20" s="3">
        <v>600</v>
      </c>
      <c r="K20" s="3">
        <v>200</v>
      </c>
      <c r="L20" s="5">
        <v>39.72</v>
      </c>
      <c r="M20" s="5">
        <f t="shared" si="1"/>
        <v>0</v>
      </c>
      <c r="N20" s="7">
        <v>0.20599999999999999</v>
      </c>
      <c r="O20" s="7">
        <f t="shared" si="2"/>
        <v>0</v>
      </c>
      <c r="P20" s="8" t="s">
        <v>33</v>
      </c>
    </row>
    <row r="21" spans="1:16" ht="20.100000000000001" customHeight="1" x14ac:dyDescent="0.25">
      <c r="A21" s="3"/>
      <c r="B21" s="4"/>
      <c r="C21" s="5"/>
      <c r="D21" s="6"/>
      <c r="E21" s="6"/>
      <c r="F21" s="6"/>
      <c r="G21" s="6"/>
      <c r="H21" s="3"/>
      <c r="I21" s="3"/>
      <c r="J21" s="3"/>
      <c r="K21" s="3"/>
      <c r="L21" s="5"/>
      <c r="M21" s="5"/>
      <c r="N21" s="7"/>
      <c r="O21" s="7"/>
      <c r="P21" s="8"/>
    </row>
    <row r="22" spans="1:16" ht="20.100000000000001" customHeight="1" x14ac:dyDescent="0.25">
      <c r="A22" s="9" t="s">
        <v>51</v>
      </c>
      <c r="B22" s="10"/>
      <c r="C22" s="10"/>
      <c r="D22" s="10"/>
      <c r="E22" s="10"/>
      <c r="F22" s="11">
        <f>SUM(F4:F21)</f>
        <v>4420500</v>
      </c>
      <c r="G22" s="10"/>
      <c r="H22" s="11">
        <f>SUM(H4:H21)</f>
        <v>16947000</v>
      </c>
      <c r="I22" s="10"/>
      <c r="J22" s="10"/>
      <c r="K22" s="10"/>
      <c r="L22" s="10"/>
      <c r="M22" s="12">
        <f>SUM(M4:M21)/1000</f>
        <v>161.10192000000001</v>
      </c>
      <c r="N22" s="10"/>
      <c r="O22" s="13">
        <f>SUM(O4:O21)</f>
        <v>3350056.5</v>
      </c>
      <c r="P22" s="10"/>
    </row>
  </sheetData>
  <dataValidations count="1">
    <dataValidation type="list" allowBlank="1" sqref="P4:P21">
      <formula1>"ИЛ-225,КВ301,7058,22212,22112,вручную"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Литейное производство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Ingolf</cp:lastModifiedBy>
  <dcterms:created xsi:type="dcterms:W3CDTF">2026-09-10T17:08:16Z</dcterms:created>
  <dcterms:modified xsi:type="dcterms:W3CDTF">2026-09-10T17:14:25Z</dcterms:modified>
</cp:coreProperties>
</file>